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Alejandro\Aula 6\"/>
    </mc:Choice>
  </mc:AlternateContent>
  <xr:revisionPtr revIDLastSave="0" documentId="8_{09B8D2DD-9AB0-4FD5-BE65-1C2E9572568F}" xr6:coauthVersionLast="47" xr6:coauthVersionMax="47" xr10:uidLastSave="{00000000-0000-0000-0000-000000000000}"/>
  <bookViews>
    <workbookView xWindow="-105" yWindow="0" windowWidth="14610" windowHeight="15585" tabRatio="645" xr2:uid="{00000000-000D-0000-FFFF-FFFF00000000}"/>
  </bookViews>
  <sheets>
    <sheet name="Tudo em Informática" sheetId="1" r:id="rId1"/>
    <sheet name="Função MULT" sheetId="3" r:id="rId2"/>
    <sheet name="Função SOMA" sheetId="2" r:id="rId3"/>
    <sheet name="Função SOMARPRODUTO" sheetId="4" r:id="rId4"/>
    <sheet name="Função SOMASE" sheetId="5" r:id="rId5"/>
    <sheet name="Função SOMASES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D26" i="1"/>
  <c r="D25" i="1"/>
  <c r="D24" i="1"/>
  <c r="D23" i="1"/>
  <c r="D22" i="1"/>
  <c r="D21" i="1"/>
  <c r="D20" i="1"/>
  <c r="D19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3" i="1"/>
</calcChain>
</file>

<file path=xl/sharedStrings.xml><?xml version="1.0" encoding="utf-8"?>
<sst xmlns="http://schemas.openxmlformats.org/spreadsheetml/2006/main" count="59" uniqueCount="25">
  <si>
    <t>TUDO EM INFORMÁTICA - Vendas 1º Trimestre 2015</t>
  </si>
  <si>
    <t>Filial</t>
  </si>
  <si>
    <t>Mês</t>
  </si>
  <si>
    <t>Produto</t>
  </si>
  <si>
    <t>Quantidade</t>
  </si>
  <si>
    <t>Valor Unitário</t>
  </si>
  <si>
    <t>Valor Total</t>
  </si>
  <si>
    <t>Vila Mariana</t>
  </si>
  <si>
    <t>Janeiro</t>
  </si>
  <si>
    <t>Mesa para computador</t>
  </si>
  <si>
    <t>Mouse</t>
  </si>
  <si>
    <t>Brooklin</t>
  </si>
  <si>
    <t>Impressora</t>
  </si>
  <si>
    <t>Fevereiro</t>
  </si>
  <si>
    <t>Março</t>
  </si>
  <si>
    <t>RESUMO DO TRIMESTRE</t>
  </si>
  <si>
    <t>Número de itens vendidos:</t>
  </si>
  <si>
    <t>Valor total de vendas:</t>
  </si>
  <si>
    <t>Valor total Vila Mariana:</t>
  </si>
  <si>
    <t>Valor total Brooklin:</t>
  </si>
  <si>
    <t>Valor total Janeiro:</t>
  </si>
  <si>
    <t>Valor total Fevereiro:</t>
  </si>
  <si>
    <t>Valor total Março:</t>
  </si>
  <si>
    <t>Valor Vila Mariana em Fevereiro:</t>
  </si>
  <si>
    <t>Valor Brooklin em Janeiro: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</si>
</sst>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1" applyNumberFormat="1" applyFont="1"/>
    <xf numFmtId="44" fontId="0" fillId="0" borderId="0" xfId="2" applyFont="1"/>
    <xf numFmtId="44" fontId="0" fillId="0" borderId="0" xfId="0" applyNumberFormat="1"/>
    <xf numFmtId="0" fontId="0" fillId="0" borderId="1" xfId="0" applyBorder="1"/>
    <xf numFmtId="44" fontId="0" fillId="0" borderId="1" xfId="2" applyFont="1" applyBorder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44" fontId="2" fillId="2" borderId="1" xfId="2" applyFont="1" applyFill="1" applyBorder="1" applyAlignment="1">
      <alignment horizontal="center" vertical="center" wrapText="1"/>
    </xf>
    <xf numFmtId="0" fontId="5" fillId="0" borderId="0" xfId="0" applyFont="1"/>
    <xf numFmtId="44" fontId="0" fillId="0" borderId="1" xfId="2" applyFont="1" applyFill="1" applyBorder="1"/>
    <xf numFmtId="164" fontId="0" fillId="0" borderId="1" xfId="0" applyNumberFormat="1" applyBorder="1" applyAlignment="1">
      <alignment horizontal="left" vertical="center"/>
    </xf>
    <xf numFmtId="44" fontId="0" fillId="0" borderId="1" xfId="0" applyNumberFormat="1" applyBorder="1"/>
    <xf numFmtId="1" fontId="0" fillId="0" borderId="1" xfId="1" applyNumberFormat="1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906780</xdr:colOff>
      <xdr:row>0</xdr:row>
      <xdr:rowOff>60960</xdr:rowOff>
    </xdr:from>
    <xdr:to>
      <xdr:col>16</xdr:col>
      <xdr:colOff>104014</xdr:colOff>
      <xdr:row>14</xdr:row>
      <xdr:rowOff>15240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CF950A-0DB8-4B39-B064-2D9E65F3F1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9123"/>
        <a:stretch/>
      </xdr:blipFill>
      <xdr:spPr>
        <a:xfrm>
          <a:off x="7399020" y="60960"/>
          <a:ext cx="6085714" cy="284226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13</xdr:col>
      <xdr:colOff>175260</xdr:colOff>
      <xdr:row>3</xdr:row>
      <xdr:rowOff>99060</xdr:rowOff>
    </xdr:from>
    <xdr:to>
      <xdr:col>14</xdr:col>
      <xdr:colOff>594360</xdr:colOff>
      <xdr:row>4</xdr:row>
      <xdr:rowOff>167640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5E65D467-E5BD-46CC-A846-615A56BDF7C0}"/>
            </a:ext>
          </a:extLst>
        </xdr:cNvPr>
        <xdr:cNvSpPr/>
      </xdr:nvSpPr>
      <xdr:spPr>
        <a:xfrm>
          <a:off x="11727180" y="975360"/>
          <a:ext cx="1028700" cy="25146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56381</xdr:colOff>
      <xdr:row>11</xdr:row>
      <xdr:rowOff>93082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649CEF-7131-44BD-83BB-8D37A5CB0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52381" cy="21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132571</xdr:colOff>
      <xdr:row>9</xdr:row>
      <xdr:rowOff>135032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D97E77-D2C1-4B71-9A07-CDF1BFF9A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28571" cy="17809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46857</xdr:colOff>
      <xdr:row>11</xdr:row>
      <xdr:rowOff>131177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C8D273-87BE-465B-B7DA-B29D85D0D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42857" cy="21428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208762</xdr:colOff>
      <xdr:row>28</xdr:row>
      <xdr:rowOff>136503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BE7802-5F0B-4F9F-87C6-3B22C2A79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04762" cy="52571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303924</xdr:colOff>
      <xdr:row>35</xdr:row>
      <xdr:rowOff>142057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2EF046-A2FC-4C53-8011-1D6CC0BF8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09524" cy="6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D28" sqref="D28"/>
    </sheetView>
  </sheetViews>
  <sheetFormatPr defaultRowHeight="15" x14ac:dyDescent="0.25"/>
  <cols>
    <col min="1" max="1" width="13.5703125" customWidth="1"/>
    <col min="2" max="2" width="14.7109375" customWidth="1"/>
    <col min="3" max="3" width="30.140625" customWidth="1"/>
    <col min="4" max="4" width="15" style="1" customWidth="1"/>
    <col min="5" max="5" width="10.5703125" style="2" bestFit="1" customWidth="1"/>
    <col min="6" max="6" width="14.7109375" style="2" customWidth="1"/>
    <col min="7" max="7" width="13.28515625" bestFit="1" customWidth="1"/>
    <col min="9" max="9" width="16" bestFit="1" customWidth="1"/>
  </cols>
  <sheetData>
    <row r="1" spans="1:6" ht="26.25" x14ac:dyDescent="0.4">
      <c r="A1" s="15" t="s">
        <v>0</v>
      </c>
      <c r="B1" s="15"/>
      <c r="C1" s="15"/>
      <c r="D1" s="15"/>
      <c r="E1" s="15"/>
      <c r="F1" s="15"/>
    </row>
    <row r="2" spans="1:6" ht="30" x14ac:dyDescent="0.25">
      <c r="A2" s="6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8" t="s">
        <v>6</v>
      </c>
    </row>
    <row r="3" spans="1:6" x14ac:dyDescent="0.25">
      <c r="A3" s="4" t="s">
        <v>7</v>
      </c>
      <c r="B3" s="4" t="s">
        <v>8</v>
      </c>
      <c r="C3" s="4" t="s">
        <v>9</v>
      </c>
      <c r="D3" s="13">
        <v>56</v>
      </c>
      <c r="E3" s="5">
        <v>230</v>
      </c>
      <c r="F3" s="5">
        <f>PRODUCT(D3,E3)</f>
        <v>12880</v>
      </c>
    </row>
    <row r="4" spans="1:6" x14ac:dyDescent="0.25">
      <c r="A4" s="4" t="s">
        <v>7</v>
      </c>
      <c r="B4" s="4" t="s">
        <v>8</v>
      </c>
      <c r="C4" s="4" t="s">
        <v>10</v>
      </c>
      <c r="D4" s="13">
        <v>134</v>
      </c>
      <c r="E4" s="5">
        <v>23.8</v>
      </c>
      <c r="F4" s="5">
        <f t="shared" ref="F4:F16" si="0">PRODUCT(D4,E4)</f>
        <v>3189.2000000000003</v>
      </c>
    </row>
    <row r="5" spans="1:6" x14ac:dyDescent="0.25">
      <c r="A5" s="4" t="s">
        <v>11</v>
      </c>
      <c r="B5" s="4" t="s">
        <v>8</v>
      </c>
      <c r="C5" s="4" t="s">
        <v>9</v>
      </c>
      <c r="D5" s="13">
        <v>23</v>
      </c>
      <c r="E5" s="5">
        <v>247</v>
      </c>
      <c r="F5" s="5">
        <f t="shared" si="0"/>
        <v>5681</v>
      </c>
    </row>
    <row r="6" spans="1:6" x14ac:dyDescent="0.25">
      <c r="A6" s="4" t="s">
        <v>7</v>
      </c>
      <c r="B6" s="4" t="s">
        <v>8</v>
      </c>
      <c r="C6" s="4" t="s">
        <v>12</v>
      </c>
      <c r="D6" s="13">
        <v>12</v>
      </c>
      <c r="E6" s="5">
        <v>299</v>
      </c>
      <c r="F6" s="5">
        <f t="shared" si="0"/>
        <v>3588</v>
      </c>
    </row>
    <row r="7" spans="1:6" x14ac:dyDescent="0.25">
      <c r="A7" s="4" t="s">
        <v>11</v>
      </c>
      <c r="B7" s="4" t="s">
        <v>8</v>
      </c>
      <c r="C7" s="4" t="s">
        <v>12</v>
      </c>
      <c r="D7" s="13">
        <v>45</v>
      </c>
      <c r="E7" s="5">
        <v>250</v>
      </c>
      <c r="F7" s="5">
        <f t="shared" si="0"/>
        <v>11250</v>
      </c>
    </row>
    <row r="8" spans="1:6" x14ac:dyDescent="0.25">
      <c r="A8" s="4" t="s">
        <v>7</v>
      </c>
      <c r="B8" s="4" t="s">
        <v>13</v>
      </c>
      <c r="C8" s="4" t="s">
        <v>9</v>
      </c>
      <c r="D8" s="13">
        <v>56</v>
      </c>
      <c r="E8" s="5">
        <v>220</v>
      </c>
      <c r="F8" s="5">
        <f t="shared" si="0"/>
        <v>12320</v>
      </c>
    </row>
    <row r="9" spans="1:6" x14ac:dyDescent="0.25">
      <c r="A9" s="4" t="s">
        <v>11</v>
      </c>
      <c r="B9" s="4" t="s">
        <v>13</v>
      </c>
      <c r="C9" s="4" t="s">
        <v>9</v>
      </c>
      <c r="D9" s="13">
        <v>7</v>
      </c>
      <c r="E9" s="5">
        <v>210</v>
      </c>
      <c r="F9" s="5">
        <f t="shared" si="0"/>
        <v>1470</v>
      </c>
    </row>
    <row r="10" spans="1:6" x14ac:dyDescent="0.25">
      <c r="A10" s="4" t="s">
        <v>7</v>
      </c>
      <c r="B10" s="4" t="s">
        <v>13</v>
      </c>
      <c r="C10" s="4" t="s">
        <v>10</v>
      </c>
      <c r="D10" s="13">
        <v>22</v>
      </c>
      <c r="E10" s="5">
        <v>25</v>
      </c>
      <c r="F10" s="5">
        <f t="shared" si="0"/>
        <v>550</v>
      </c>
    </row>
    <row r="11" spans="1:6" x14ac:dyDescent="0.25">
      <c r="A11" s="4" t="s">
        <v>7</v>
      </c>
      <c r="B11" s="4" t="s">
        <v>13</v>
      </c>
      <c r="C11" s="4" t="s">
        <v>12</v>
      </c>
      <c r="D11" s="13">
        <v>14</v>
      </c>
      <c r="E11" s="5">
        <v>250</v>
      </c>
      <c r="F11" s="5">
        <f t="shared" si="0"/>
        <v>3500</v>
      </c>
    </row>
    <row r="12" spans="1:6" x14ac:dyDescent="0.25">
      <c r="A12" s="4" t="s">
        <v>11</v>
      </c>
      <c r="B12" s="4" t="s">
        <v>13</v>
      </c>
      <c r="C12" s="4" t="s">
        <v>10</v>
      </c>
      <c r="D12" s="13">
        <v>3</v>
      </c>
      <c r="E12" s="5">
        <v>20</v>
      </c>
      <c r="F12" s="5">
        <f t="shared" si="0"/>
        <v>60</v>
      </c>
    </row>
    <row r="13" spans="1:6" x14ac:dyDescent="0.25">
      <c r="A13" s="4" t="s">
        <v>11</v>
      </c>
      <c r="B13" s="4" t="s">
        <v>14</v>
      </c>
      <c r="C13" s="4" t="s">
        <v>9</v>
      </c>
      <c r="D13" s="13">
        <v>21</v>
      </c>
      <c r="E13" s="5">
        <v>220</v>
      </c>
      <c r="F13" s="5">
        <f t="shared" si="0"/>
        <v>4620</v>
      </c>
    </row>
    <row r="14" spans="1:6" x14ac:dyDescent="0.25">
      <c r="A14" s="4" t="s">
        <v>7</v>
      </c>
      <c r="B14" s="4" t="s">
        <v>14</v>
      </c>
      <c r="C14" s="4" t="s">
        <v>9</v>
      </c>
      <c r="D14" s="13">
        <v>18</v>
      </c>
      <c r="E14" s="5">
        <v>230</v>
      </c>
      <c r="F14" s="5">
        <f t="shared" si="0"/>
        <v>4140</v>
      </c>
    </row>
    <row r="15" spans="1:6" x14ac:dyDescent="0.25">
      <c r="A15" s="4" t="s">
        <v>7</v>
      </c>
      <c r="B15" s="4" t="s">
        <v>14</v>
      </c>
      <c r="C15" s="4" t="s">
        <v>10</v>
      </c>
      <c r="D15" s="13">
        <v>33</v>
      </c>
      <c r="E15" s="5">
        <v>20</v>
      </c>
      <c r="F15" s="5">
        <f t="shared" si="0"/>
        <v>660</v>
      </c>
    </row>
    <row r="16" spans="1:6" x14ac:dyDescent="0.25">
      <c r="A16" s="4" t="s">
        <v>11</v>
      </c>
      <c r="B16" s="4" t="s">
        <v>14</v>
      </c>
      <c r="C16" s="4" t="s">
        <v>12</v>
      </c>
      <c r="D16" s="13">
        <v>22</v>
      </c>
      <c r="E16" s="5">
        <v>299</v>
      </c>
      <c r="F16" s="5">
        <f t="shared" si="0"/>
        <v>6578</v>
      </c>
    </row>
    <row r="18" spans="1:8" ht="21" x14ac:dyDescent="0.35">
      <c r="A18" s="17" t="s">
        <v>15</v>
      </c>
      <c r="B18" s="17"/>
      <c r="C18" s="17"/>
      <c r="D18" s="17"/>
      <c r="E18"/>
    </row>
    <row r="19" spans="1:8" x14ac:dyDescent="0.25">
      <c r="A19" s="16" t="s">
        <v>16</v>
      </c>
      <c r="B19" s="16"/>
      <c r="C19" s="16"/>
      <c r="D19" s="11">
        <f>SUM(D3:D16)</f>
        <v>466</v>
      </c>
      <c r="F19" s="3"/>
    </row>
    <row r="20" spans="1:8" ht="15.75" x14ac:dyDescent="0.25">
      <c r="A20" s="14" t="s">
        <v>17</v>
      </c>
      <c r="B20" s="14"/>
      <c r="C20" s="14"/>
      <c r="D20" s="10">
        <f>SUMPRODUCT(D3:D16,E3:E16)</f>
        <v>70486.2</v>
      </c>
      <c r="F20" s="3"/>
      <c r="H20" s="9"/>
    </row>
    <row r="21" spans="1:8" x14ac:dyDescent="0.25">
      <c r="A21" s="14" t="s">
        <v>18</v>
      </c>
      <c r="B21" s="14"/>
      <c r="C21" s="14"/>
      <c r="D21" s="12">
        <f>SUMIF(A3:A16,"Vila Mariana",F3:F16)</f>
        <v>40827.199999999997</v>
      </c>
      <c r="F21"/>
    </row>
    <row r="22" spans="1:8" x14ac:dyDescent="0.25">
      <c r="A22" s="14" t="s">
        <v>19</v>
      </c>
      <c r="B22" s="14"/>
      <c r="C22" s="14"/>
      <c r="D22" s="12">
        <f>SUMIF(A3:A16,"Brooklin",F3:F16)</f>
        <v>29659</v>
      </c>
      <c r="F22"/>
    </row>
    <row r="23" spans="1:8" x14ac:dyDescent="0.25">
      <c r="A23" s="14" t="s">
        <v>20</v>
      </c>
      <c r="B23" s="14"/>
      <c r="C23" s="14"/>
      <c r="D23" s="12">
        <f>SUMIF(B3:B16,"Janeiro",F3:F16)</f>
        <v>36588.199999999997</v>
      </c>
      <c r="F23"/>
    </row>
    <row r="24" spans="1:8" x14ac:dyDescent="0.25">
      <c r="A24" s="14" t="s">
        <v>21</v>
      </c>
      <c r="B24" s="14"/>
      <c r="C24" s="14"/>
      <c r="D24" s="12">
        <f>SUMIF(B3:B16,"Fevereiro",F3:F16)</f>
        <v>17900</v>
      </c>
      <c r="F24"/>
    </row>
    <row r="25" spans="1:8" x14ac:dyDescent="0.25">
      <c r="A25" s="14" t="s">
        <v>22</v>
      </c>
      <c r="B25" s="14"/>
      <c r="C25" s="14"/>
      <c r="D25" s="12">
        <f>SUMIF(B3:B16,"Março",F3:F16)</f>
        <v>15998</v>
      </c>
      <c r="F25"/>
    </row>
    <row r="26" spans="1:8" x14ac:dyDescent="0.25">
      <c r="A26" s="14" t="s">
        <v>23</v>
      </c>
      <c r="B26" s="14"/>
      <c r="C26" s="14"/>
      <c r="D26" s="10">
        <f>SUMIFS(F3:F16,A3:A16,"Vila Mariana",B3:B16,"Fevereiro")</f>
        <v>16370</v>
      </c>
      <c r="F26"/>
    </row>
    <row r="27" spans="1:8" x14ac:dyDescent="0.25">
      <c r="A27" s="14" t="s">
        <v>24</v>
      </c>
      <c r="B27" s="14"/>
      <c r="C27" s="14"/>
      <c r="D27" s="10">
        <f>SUMIFS(F3:F16,A3:A16,"Brooklin",B3:B16,"Janeiro")</f>
        <v>16931</v>
      </c>
      <c r="F27"/>
    </row>
  </sheetData>
  <mergeCells count="11">
    <mergeCell ref="A1:F1"/>
    <mergeCell ref="A19:C19"/>
    <mergeCell ref="A20:C20"/>
    <mergeCell ref="A21:C21"/>
    <mergeCell ref="A22:C22"/>
    <mergeCell ref="A18:D18"/>
    <mergeCell ref="A23:C23"/>
    <mergeCell ref="A24:C24"/>
    <mergeCell ref="A25:C25"/>
    <mergeCell ref="A26:C26"/>
    <mergeCell ref="A27:C2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selection activeCell="F17" sqref="F1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G20" sqref="G2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1E5C-0731-467F-9AC6-537A594B9EF5}">
  <dimension ref="A1"/>
  <sheetViews>
    <sheetView showGridLines="0" workbookViewId="0">
      <selection activeCell="H27" sqref="H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E55C-FEF6-4C68-85BA-C5A8E8009F98}">
  <dimension ref="A1"/>
  <sheetViews>
    <sheetView showGridLines="0" workbookViewId="0">
      <selection activeCell="M20" sqref="M2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4BD4-E3B7-4EFA-A2F2-2F3CD7830AA0}">
  <dimension ref="A1"/>
  <sheetViews>
    <sheetView showGridLines="0" workbookViewId="0">
      <selection activeCell="N7" sqref="N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Tudo em Informática</vt:lpstr>
      <vt:lpstr>Função MULT</vt:lpstr>
      <vt:lpstr>Função SOMA</vt:lpstr>
      <vt:lpstr>Função SOMARPRODUTO</vt:lpstr>
      <vt:lpstr>Função SOMASE</vt:lpstr>
      <vt:lpstr>Função SOMASES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</dc:creator>
  <cp:keywords/>
  <dc:description/>
  <cp:lastModifiedBy>Usuário Local</cp:lastModifiedBy>
  <cp:revision/>
  <dcterms:created xsi:type="dcterms:W3CDTF">2010-07-14T17:59:40Z</dcterms:created>
  <dcterms:modified xsi:type="dcterms:W3CDTF">2026-04-01T17:00:08Z</dcterms:modified>
  <cp:category/>
  <cp:contentStatus/>
</cp:coreProperties>
</file>