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4\"/>
    </mc:Choice>
  </mc:AlternateContent>
  <xr:revisionPtr revIDLastSave="0" documentId="8_{9BD29337-C16C-403C-834B-F11DED306302}" xr6:coauthVersionLast="47" xr6:coauthVersionMax="47" xr10:uidLastSave="{00000000-0000-0000-0000-000000000000}"/>
  <bookViews>
    <workbookView xWindow="-105" yWindow="0" windowWidth="14610" windowHeight="15585" xr2:uid="{4C1FC9D0-B818-4CEF-800E-F7224033D0BE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</calcChain>
</file>

<file path=xl/sharedStrings.xml><?xml version="1.0" encoding="utf-8"?>
<sst xmlns="http://schemas.openxmlformats.org/spreadsheetml/2006/main" count="59" uniqueCount="41">
  <si>
    <t>NOME DO ALUNO</t>
  </si>
  <si>
    <t>FILIAL</t>
  </si>
  <si>
    <t>CÓDIGO CURSO</t>
  </si>
  <si>
    <t>NOME CURSO</t>
  </si>
  <si>
    <t>VALOR MENSALIDADE</t>
  </si>
  <si>
    <t>Ana Maria Bernardes</t>
  </si>
  <si>
    <t>Beatriz Saracena</t>
  </si>
  <si>
    <t>Diógenes Duarte Lima</t>
  </si>
  <si>
    <t>Fernando Coriolano</t>
  </si>
  <si>
    <t>Maria Carlina Braga</t>
  </si>
  <si>
    <t xml:space="preserve">Felipe dos Santos </t>
  </si>
  <si>
    <t>Vanderlei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</si>
  <si>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</si>
  <si>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</si>
  <si>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</si>
  <si>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</si>
  <si>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</si>
  <si>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</si>
  <si>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</si>
  <si>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</si>
  <si>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</si>
  <si>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</si>
  <si>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</si>
  <si>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</si>
  <si>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</si>
  <si>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</si>
  <si>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Vila Mariana</t>
  </si>
  <si>
    <t>Aclimação</t>
  </si>
  <si>
    <t>Itaim Bibi</t>
  </si>
  <si>
    <t>Access com VBA</t>
  </si>
  <si>
    <t>Access</t>
  </si>
  <si>
    <t>Internet</t>
  </si>
  <si>
    <t>Word - Básico</t>
  </si>
  <si>
    <t>Word - Avaçado</t>
  </si>
  <si>
    <t xml:space="preserve">Excel - Básico </t>
  </si>
  <si>
    <t>Excel - Avançado</t>
  </si>
  <si>
    <t>Power Point - Básico</t>
  </si>
  <si>
    <t>Power Point - Avançado</t>
  </si>
  <si>
    <t>CÓDIGO</t>
  </si>
  <si>
    <t>CURSO</t>
  </si>
  <si>
    <t>MENSALIDADE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</si>
</sst>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2" fillId="0" borderId="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5E7B-31D6-47A2-9B83-46E2C0BA129B}">
  <dimension ref="A2:E23"/>
  <sheetViews>
    <sheetView tabSelected="1" workbookViewId="0">
      <selection activeCell="I28" sqref="I28"/>
    </sheetView>
  </sheetViews>
  <sheetFormatPr defaultRowHeight="15" x14ac:dyDescent="0.25"/>
  <cols>
    <col min="1" max="1" width="22.85546875" customWidth="1"/>
    <col min="2" max="2" width="13.140625" customWidth="1"/>
    <col min="3" max="3" width="11.5703125" customWidth="1"/>
    <col min="4" max="4" width="22.28515625" customWidth="1"/>
    <col min="5" max="5" width="14.7109375" customWidth="1"/>
  </cols>
  <sheetData>
    <row r="2" spans="1:5" s="1" customFormat="1" ht="29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 t="s">
        <v>5</v>
      </c>
      <c r="B3" s="4" t="s">
        <v>26</v>
      </c>
      <c r="C3" s="4">
        <v>2</v>
      </c>
      <c r="D3" s="4" t="str">
        <f>VLOOKUP(C3,TABELA!A$1:C$10,2,FALSE)</f>
        <v>Word - Básico</v>
      </c>
      <c r="E3" s="5">
        <f>VLOOKUP(C3,TABELA!A$1:C$10,3,FALSE)</f>
        <v>180</v>
      </c>
    </row>
    <row r="4" spans="1:5" x14ac:dyDescent="0.25">
      <c r="A4" s="3" t="s">
        <v>6</v>
      </c>
      <c r="B4" s="4" t="s">
        <v>27</v>
      </c>
      <c r="C4" s="4">
        <v>3</v>
      </c>
      <c r="D4" s="4" t="str">
        <f>VLOOKUP(C4,TABELA!A$1:C$10,2,FALSE)</f>
        <v>Word - Avaçado</v>
      </c>
      <c r="E4" s="5">
        <f>VLOOKUP(C4,TABELA!A$1:C$10,3,FALSE)</f>
        <v>270</v>
      </c>
    </row>
    <row r="5" spans="1:5" x14ac:dyDescent="0.25">
      <c r="A5" s="3" t="s">
        <v>7</v>
      </c>
      <c r="B5" s="4" t="s">
        <v>26</v>
      </c>
      <c r="C5" s="4">
        <v>2</v>
      </c>
      <c r="D5" s="4" t="str">
        <f>VLOOKUP(C5,TABELA!A$1:C$10,2,FALSE)</f>
        <v>Word - Básico</v>
      </c>
      <c r="E5" s="5">
        <f>VLOOKUP(C5,TABELA!A$1:C$10,3,FALSE)</f>
        <v>180</v>
      </c>
    </row>
    <row r="6" spans="1:5" x14ac:dyDescent="0.25">
      <c r="A6" s="3" t="s">
        <v>8</v>
      </c>
      <c r="B6" s="4" t="s">
        <v>28</v>
      </c>
      <c r="C6" s="4">
        <v>3</v>
      </c>
      <c r="D6" s="4" t="str">
        <f>VLOOKUP(C6,TABELA!A$1:C$10,2,FALSE)</f>
        <v>Word - Avaçado</v>
      </c>
      <c r="E6" s="5">
        <f>VLOOKUP(C6,TABELA!A$1:C$10,3,FALSE)</f>
        <v>270</v>
      </c>
    </row>
    <row r="7" spans="1:5" x14ac:dyDescent="0.25">
      <c r="A7" s="3" t="s">
        <v>9</v>
      </c>
      <c r="B7" s="4" t="s">
        <v>28</v>
      </c>
      <c r="C7" s="4">
        <v>1</v>
      </c>
      <c r="D7" s="4" t="str">
        <f>VLOOKUP(C7,TABELA!A$1:C$10,2,FALSE)</f>
        <v>Internet</v>
      </c>
      <c r="E7" s="5">
        <f>VLOOKUP(C7,TABELA!A$1:C$10,3,FALSE)</f>
        <v>150</v>
      </c>
    </row>
    <row r="8" spans="1:5" x14ac:dyDescent="0.25">
      <c r="A8" s="3" t="s">
        <v>10</v>
      </c>
      <c r="B8" s="4" t="s">
        <v>27</v>
      </c>
      <c r="C8" s="4">
        <v>7</v>
      </c>
      <c r="D8" s="4" t="str">
        <f>VLOOKUP(C8,TABELA!A$1:C$10,2,FALSE)</f>
        <v>Power Point - Avançado</v>
      </c>
      <c r="E8" s="5">
        <f>VLOOKUP(C8,TABELA!A$1:C$10,3,FALSE)</f>
        <v>170</v>
      </c>
    </row>
    <row r="9" spans="1:5" x14ac:dyDescent="0.25">
      <c r="A9" s="3" t="s">
        <v>11</v>
      </c>
      <c r="B9" s="4" t="s">
        <v>27</v>
      </c>
      <c r="C9" s="4">
        <v>1</v>
      </c>
      <c r="D9" s="4" t="str">
        <f>VLOOKUP(C9,TABELA!A$1:C$10,2,FALSE)</f>
        <v>Internet</v>
      </c>
      <c r="E9" s="5">
        <f>VLOOKUP(C9,TABELA!A$1:C$10,3,FALSE)</f>
        <v>150</v>
      </c>
    </row>
    <row r="10" spans="1:5" x14ac:dyDescent="0.25">
      <c r="A10" s="3" t="s">
        <v>12</v>
      </c>
      <c r="B10" s="4" t="s">
        <v>27</v>
      </c>
      <c r="C10" s="4">
        <v>4</v>
      </c>
      <c r="D10" s="4" t="str">
        <f>VLOOKUP(C10,TABELA!A$1:C$10,2,FALSE)</f>
        <v xml:space="preserve">Excel - Básico </v>
      </c>
      <c r="E10" s="5">
        <f>VLOOKUP(C10,TABELA!A$1:C$10,3,FALSE)</f>
        <v>200</v>
      </c>
    </row>
    <row r="11" spans="1:5" x14ac:dyDescent="0.25">
      <c r="A11" s="3" t="s">
        <v>13</v>
      </c>
      <c r="B11" s="4" t="s">
        <v>26</v>
      </c>
      <c r="C11" s="4">
        <v>6</v>
      </c>
      <c r="D11" s="4" t="str">
        <f>VLOOKUP(C11,TABELA!A$1:C$10,2,FALSE)</f>
        <v>Power Point - Básico</v>
      </c>
      <c r="E11" s="5">
        <f>VLOOKUP(C11,TABELA!A$1:C$10,3,FALSE)</f>
        <v>120</v>
      </c>
    </row>
    <row r="12" spans="1:5" x14ac:dyDescent="0.25">
      <c r="A12" s="3" t="s">
        <v>14</v>
      </c>
      <c r="B12" s="4" t="s">
        <v>28</v>
      </c>
      <c r="C12" s="4">
        <v>6</v>
      </c>
      <c r="D12" s="4" t="str">
        <f>VLOOKUP(C12,TABELA!A$1:C$10,2,FALSE)</f>
        <v>Power Point - Básico</v>
      </c>
      <c r="E12" s="5">
        <f>VLOOKUP(C12,TABELA!A$1:C$10,3,FALSE)</f>
        <v>120</v>
      </c>
    </row>
    <row r="13" spans="1:5" x14ac:dyDescent="0.25">
      <c r="A13" s="3" t="s">
        <v>15</v>
      </c>
      <c r="B13" s="4" t="s">
        <v>28</v>
      </c>
      <c r="C13" s="4">
        <v>3</v>
      </c>
      <c r="D13" s="4" t="str">
        <f>VLOOKUP(C13,TABELA!A$1:C$10,2,FALSE)</f>
        <v>Word - Avaçado</v>
      </c>
      <c r="E13" s="5">
        <f>VLOOKUP(C13,TABELA!A$1:C$10,3,FALSE)</f>
        <v>270</v>
      </c>
    </row>
    <row r="14" spans="1:5" x14ac:dyDescent="0.25">
      <c r="A14" s="3" t="s">
        <v>16</v>
      </c>
      <c r="B14" s="4" t="s">
        <v>28</v>
      </c>
      <c r="C14" s="4">
        <v>8</v>
      </c>
      <c r="D14" s="4" t="str">
        <f>VLOOKUP(C14,TABELA!A$1:C$10,2,FALSE)</f>
        <v>Access</v>
      </c>
      <c r="E14" s="5">
        <f>VLOOKUP(C14,TABELA!A$1:C$10,3,FALSE)</f>
        <v>270</v>
      </c>
    </row>
    <row r="15" spans="1:5" x14ac:dyDescent="0.25">
      <c r="A15" s="3" t="s">
        <v>17</v>
      </c>
      <c r="B15" s="4" t="s">
        <v>28</v>
      </c>
      <c r="C15" s="4">
        <v>6</v>
      </c>
      <c r="D15" s="4" t="str">
        <f>VLOOKUP(C15,TABELA!A$1:C$10,2,FALSE)</f>
        <v>Power Point - Básico</v>
      </c>
      <c r="E15" s="5">
        <f>VLOOKUP(C15,TABELA!A$1:C$10,3,FALSE)</f>
        <v>120</v>
      </c>
    </row>
    <row r="16" spans="1:5" x14ac:dyDescent="0.25">
      <c r="A16" s="3" t="s">
        <v>18</v>
      </c>
      <c r="B16" s="4" t="s">
        <v>27</v>
      </c>
      <c r="C16" s="4">
        <v>2</v>
      </c>
      <c r="D16" s="4" t="str">
        <f>VLOOKUP(C16,TABELA!A$1:C$10,2,FALSE)</f>
        <v>Word - Básico</v>
      </c>
      <c r="E16" s="5">
        <f>VLOOKUP(C16,TABELA!A$1:C$10,3,FALSE)</f>
        <v>180</v>
      </c>
    </row>
    <row r="17" spans="1:5" x14ac:dyDescent="0.25">
      <c r="A17" s="3" t="s">
        <v>19</v>
      </c>
      <c r="B17" s="4" t="s">
        <v>27</v>
      </c>
      <c r="C17" s="4">
        <v>3</v>
      </c>
      <c r="D17" s="4" t="str">
        <f>VLOOKUP(C17,TABELA!A$1:C$10,2,FALSE)</f>
        <v>Word - Avaçado</v>
      </c>
      <c r="E17" s="5">
        <f>VLOOKUP(C17,TABELA!A$1:C$10,3,FALSE)</f>
        <v>270</v>
      </c>
    </row>
    <row r="18" spans="1:5" x14ac:dyDescent="0.25">
      <c r="A18" s="3" t="s">
        <v>20</v>
      </c>
      <c r="B18" s="4" t="s">
        <v>26</v>
      </c>
      <c r="C18" s="4">
        <v>4</v>
      </c>
      <c r="D18" s="4" t="str">
        <f>VLOOKUP(C18,TABELA!A$1:C$10,2,FALSE)</f>
        <v xml:space="preserve">Excel - Básico </v>
      </c>
      <c r="E18" s="5">
        <f>VLOOKUP(C18,TABELA!A$1:C$10,3,FALSE)</f>
        <v>200</v>
      </c>
    </row>
    <row r="19" spans="1:5" x14ac:dyDescent="0.25">
      <c r="A19" s="3" t="s">
        <v>21</v>
      </c>
      <c r="B19" s="4" t="s">
        <v>27</v>
      </c>
      <c r="C19" s="4">
        <v>9</v>
      </c>
      <c r="D19" s="4" t="str">
        <f>VLOOKUP(C19,TABELA!A$1:C$10,2,FALSE)</f>
        <v>Access com VBA</v>
      </c>
      <c r="E19" s="5">
        <f>VLOOKUP(C19,TABELA!A$1:C$10,3,FALSE)</f>
        <v>320</v>
      </c>
    </row>
    <row r="20" spans="1:5" x14ac:dyDescent="0.25">
      <c r="A20" s="3" t="s">
        <v>22</v>
      </c>
      <c r="B20" s="4" t="s">
        <v>27</v>
      </c>
      <c r="C20" s="4">
        <v>1</v>
      </c>
      <c r="D20" s="4" t="str">
        <f>VLOOKUP(C20,TABELA!A$1:C$10,2,FALSE)</f>
        <v>Internet</v>
      </c>
      <c r="E20" s="5">
        <f>VLOOKUP(C20,TABELA!A$1:C$10,3,FALSE)</f>
        <v>150</v>
      </c>
    </row>
    <row r="21" spans="1:5" x14ac:dyDescent="0.25">
      <c r="A21" s="3" t="s">
        <v>23</v>
      </c>
      <c r="B21" s="4" t="s">
        <v>26</v>
      </c>
      <c r="C21" s="4">
        <v>8</v>
      </c>
      <c r="D21" s="4" t="str">
        <f>VLOOKUP(C21,TABELA!A$1:C$10,2,FALSE)</f>
        <v>Access</v>
      </c>
      <c r="E21" s="5">
        <f>VLOOKUP(C21,TABELA!A$1:C$10,3,FALSE)</f>
        <v>270</v>
      </c>
    </row>
    <row r="22" spans="1:5" x14ac:dyDescent="0.25">
      <c r="A22" s="3" t="s">
        <v>24</v>
      </c>
      <c r="B22" s="4" t="s">
        <v>27</v>
      </c>
      <c r="C22" s="4">
        <v>5</v>
      </c>
      <c r="D22" s="4" t="str">
        <f>VLOOKUP(C22,TABELA!A$1:C$10,2,FALSE)</f>
        <v>Excel - Avançado</v>
      </c>
      <c r="E22" s="5">
        <f>VLOOKUP(C22,TABELA!A$1:C$10,3,FALSE)</f>
        <v>250</v>
      </c>
    </row>
    <row r="23" spans="1:5" x14ac:dyDescent="0.25">
      <c r="A23" s="3" t="s">
        <v>25</v>
      </c>
      <c r="B23" s="4" t="s">
        <v>27</v>
      </c>
      <c r="C23" s="4">
        <v>7</v>
      </c>
      <c r="D23" s="4" t="str">
        <f>VLOOKUP(C23,TABELA!A$1:C$10,2,FALSE)</f>
        <v>Power Point - Avançado</v>
      </c>
      <c r="E23" s="5">
        <f>VLOOKUP(C23,TABELA!A$1:C$10,3,FALSE)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7A62-5D02-4EEC-968C-ADC7671E9F33}">
  <dimension ref="A1:C10"/>
  <sheetViews>
    <sheetView workbookViewId="0">
      <selection activeCell="E4" sqref="E4:F4"/>
    </sheetView>
  </sheetViews>
  <sheetFormatPr defaultRowHeight="15" x14ac:dyDescent="0.25"/>
  <cols>
    <col min="2" max="2" width="22.140625" customWidth="1"/>
    <col min="3" max="3" width="16.5703125" customWidth="1"/>
  </cols>
  <sheetData>
    <row r="1" spans="1:3" x14ac:dyDescent="0.25">
      <c r="A1" s="6" t="s">
        <v>38</v>
      </c>
      <c r="B1" s="6" t="s">
        <v>39</v>
      </c>
      <c r="C1" s="6" t="s">
        <v>40</v>
      </c>
    </row>
    <row r="2" spans="1:3" x14ac:dyDescent="0.25">
      <c r="A2" s="4">
        <v>1</v>
      </c>
      <c r="B2" s="3" t="s">
        <v>31</v>
      </c>
      <c r="C2" s="5">
        <v>150</v>
      </c>
    </row>
    <row r="3" spans="1:3" x14ac:dyDescent="0.25">
      <c r="A3" s="4">
        <v>2</v>
      </c>
      <c r="B3" s="3" t="s">
        <v>32</v>
      </c>
      <c r="C3" s="5">
        <v>180</v>
      </c>
    </row>
    <row r="4" spans="1:3" x14ac:dyDescent="0.25">
      <c r="A4" s="4">
        <v>3</v>
      </c>
      <c r="B4" s="3" t="s">
        <v>33</v>
      </c>
      <c r="C4" s="5">
        <v>270</v>
      </c>
    </row>
    <row r="5" spans="1:3" x14ac:dyDescent="0.25">
      <c r="A5" s="4">
        <v>4</v>
      </c>
      <c r="B5" s="3" t="s">
        <v>34</v>
      </c>
      <c r="C5" s="5">
        <v>200</v>
      </c>
    </row>
    <row r="6" spans="1:3" x14ac:dyDescent="0.25">
      <c r="A6" s="4">
        <v>5</v>
      </c>
      <c r="B6" s="3" t="s">
        <v>35</v>
      </c>
      <c r="C6" s="5">
        <v>250</v>
      </c>
    </row>
    <row r="7" spans="1:3" x14ac:dyDescent="0.25">
      <c r="A7" s="4">
        <v>6</v>
      </c>
      <c r="B7" s="3" t="s">
        <v>36</v>
      </c>
      <c r="C7" s="5">
        <v>120</v>
      </c>
    </row>
    <row r="8" spans="1:3" x14ac:dyDescent="0.25">
      <c r="A8" s="4">
        <v>7</v>
      </c>
      <c r="B8" s="3" t="s">
        <v>37</v>
      </c>
      <c r="C8" s="5">
        <v>170</v>
      </c>
    </row>
    <row r="9" spans="1:3" x14ac:dyDescent="0.25">
      <c r="A9" s="4">
        <v>8</v>
      </c>
      <c r="B9" s="3" t="s">
        <v>30</v>
      </c>
      <c r="C9" s="5">
        <v>270</v>
      </c>
    </row>
    <row r="10" spans="1:3" x14ac:dyDescent="0.25">
      <c r="A10" s="4">
        <v>9</v>
      </c>
      <c r="B10" s="3" t="s">
        <v>29</v>
      </c>
      <c r="C10" s="5">
        <v>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2026-03-26T17:28:38Z</dcterms:created>
  <dcterms:modified xsi:type="dcterms:W3CDTF">2026-03-26T17:47:22Z</dcterms:modified>
</cp:coreProperties>
</file>