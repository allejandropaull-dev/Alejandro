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Alejandro\Aula 5\"/>
    </mc:Choice>
  </mc:AlternateContent>
  <xr:revisionPtr revIDLastSave="0" documentId="8_{8B366394-9FA2-43DA-84D9-0B2E3DBF5D6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ESTOQUE" sheetId="1" r:id="rId1"/>
    <sheet name="FERIADOS" sheetId="2" r:id="rId2"/>
    <sheet name="Funções" sheetId="3" r:id="rId3"/>
    <sheet name="Funções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F13" i="1" s="1"/>
  <c r="C14" i="1" s="1"/>
  <c r="F14" i="1" s="1"/>
  <c r="C15" i="1" s="1"/>
  <c r="F15" i="1" s="1"/>
  <c r="C16" i="1" s="1"/>
  <c r="F16" i="1" s="1"/>
  <c r="C17" i="1" s="1"/>
  <c r="F17" i="1" s="1"/>
  <c r="C18" i="1" s="1"/>
  <c r="F18" i="1" s="1"/>
  <c r="C19" i="1" s="1"/>
  <c r="F19" i="1" s="1"/>
  <c r="C20" i="1" s="1"/>
  <c r="F20" i="1" s="1"/>
  <c r="C21" i="1" s="1"/>
  <c r="F21" i="1" s="1"/>
  <c r="C22" i="1" s="1"/>
  <c r="F22" i="1" s="1"/>
  <c r="C23" i="1" s="1"/>
  <c r="F23" i="1" s="1"/>
  <c r="C24" i="1" s="1"/>
  <c r="F24" i="1" s="1"/>
  <c r="C25" i="1" s="1"/>
  <c r="F25" i="1" s="1"/>
  <c r="C26" i="1" s="1"/>
  <c r="F26" i="1" s="1"/>
  <c r="C27" i="1" s="1"/>
  <c r="F27" i="1" s="1"/>
  <c r="C28" i="1" s="1"/>
  <c r="F28" i="1" s="1"/>
  <c r="C29" i="1" s="1"/>
  <c r="F29" i="1" s="1"/>
  <c r="C30" i="1" s="1"/>
  <c r="F30" i="1" s="1"/>
  <c r="C31" i="1" s="1"/>
  <c r="F31" i="1" s="1"/>
  <c r="F12" i="1"/>
  <c r="C12" i="1"/>
  <c r="F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11" i="1"/>
  <c r="A12" i="1" s="1"/>
  <c r="F1" i="1"/>
  <c r="F2" i="1" s="1"/>
  <c r="F5" i="1" l="1"/>
  <c r="F4" i="1"/>
  <c r="F3" i="1"/>
</calcChain>
</file>

<file path=xl/sharedStrings.xml><?xml version="1.0" encoding="utf-8"?>
<sst xmlns="http://schemas.openxmlformats.org/spreadsheetml/2006/main" count="13" uniqueCount="13">
  <si>
    <t>DATA DE HOJE:</t>
  </si>
  <si>
    <t>DIA DE HOJE:</t>
  </si>
  <si>
    <t>NÚMERO DO MÊS DE HOJE:</t>
  </si>
  <si>
    <t>ANO DE HOJE:</t>
  </si>
  <si>
    <t>NÚMERO DO DIA DA SEMANA DE HOJE:</t>
  </si>
  <si>
    <t>CONTROLE DO ESTOQUE DE VASSOURAS</t>
  </si>
  <si>
    <t xml:space="preserve">MÊS: </t>
  </si>
  <si>
    <t>DATA</t>
  </si>
  <si>
    <t>ESTOQUE ANTERIOR</t>
  </si>
  <si>
    <t>QUANTIDADE ENTRADA</t>
  </si>
  <si>
    <t>QUANTIDADE SAÍDA</t>
  </si>
  <si>
    <t>ESTOQUE DO DIA</t>
  </si>
  <si>
    <t>DIA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</si>
</sst>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254001</xdr:colOff>
      <xdr:row>0</xdr:row>
      <xdr:rowOff>35036</xdr:rowOff>
    </xdr:from>
    <xdr:to>
      <xdr:col>15</xdr:col>
      <xdr:colOff>259879</xdr:colOff>
      <xdr:row>10</xdr:row>
      <xdr:rowOff>35035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8DF4E2-F838-4A79-8255-F6E8117CDD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5083"/>
        <a:stretch/>
      </xdr:blipFill>
      <xdr:spPr>
        <a:xfrm>
          <a:off x="5675587" y="35036"/>
          <a:ext cx="5523809" cy="21020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7</xdr:col>
      <xdr:colOff>589943</xdr:colOff>
      <xdr:row>23</xdr:row>
      <xdr:rowOff>60655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15383D-0D91-415E-AFA6-AEC3B32C1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0"/>
          <a:ext cx="4857143" cy="2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551771</xdr:colOff>
      <xdr:row>8</xdr:row>
      <xdr:rowOff>165531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C70B0E2-48E7-4F7E-9B5F-AE511FFD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428571" cy="16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606097</xdr:colOff>
      <xdr:row>0</xdr:row>
      <xdr:rowOff>0</xdr:rowOff>
    </xdr:from>
    <xdr:to>
      <xdr:col>17</xdr:col>
      <xdr:colOff>538745</xdr:colOff>
      <xdr:row>32</xdr:row>
      <xdr:rowOff>128792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2F5BECA-D405-4165-A7D5-C6A0A357B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2897" y="0"/>
          <a:ext cx="5419048" cy="59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323048</xdr:colOff>
      <xdr:row>10</xdr:row>
      <xdr:rowOff>47390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03C366-C37A-46DC-ACE4-7E3AD6A10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19048" cy="1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10</xdr:row>
      <xdr:rowOff>15240</xdr:rowOff>
    </xdr:from>
    <xdr:to>
      <xdr:col>10</xdr:col>
      <xdr:colOff>64006</xdr:colOff>
      <xdr:row>27</xdr:row>
      <xdr:rowOff>49137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4C5C34-F1F1-4CC1-833D-AA684877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" y="1844040"/>
          <a:ext cx="6114286" cy="3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87" zoomScaleNormal="87" workbookViewId="0">
      <selection activeCell="K24" sqref="K24"/>
    </sheetView>
  </sheetViews>
  <sheetFormatPr defaultRowHeight="15" x14ac:dyDescent="0.25"/>
  <cols>
    <col min="1" max="1" width="12" bestFit="1" customWidth="1"/>
    <col min="2" max="2" width="14.5703125" customWidth="1"/>
    <col min="3" max="3" width="13.140625" customWidth="1"/>
    <col min="4" max="4" width="13.5703125" customWidth="1"/>
    <col min="5" max="5" width="13.42578125" customWidth="1"/>
    <col min="6" max="6" width="12.28515625" customWidth="1"/>
  </cols>
  <sheetData>
    <row r="1" spans="1:6" x14ac:dyDescent="0.25">
      <c r="A1" s="9" t="s">
        <v>0</v>
      </c>
      <c r="B1" s="9"/>
      <c r="C1" s="9"/>
      <c r="D1" s="9"/>
      <c r="E1" s="9"/>
      <c r="F1" s="2">
        <f ca="1">TODAY()</f>
        <v>46111</v>
      </c>
    </row>
    <row r="2" spans="1:6" x14ac:dyDescent="0.25">
      <c r="A2" s="9" t="s">
        <v>1</v>
      </c>
      <c r="B2" s="9"/>
      <c r="C2" s="9"/>
      <c r="D2" s="9"/>
      <c r="E2" s="9"/>
      <c r="F2">
        <f ca="1">DAY(F1)</f>
        <v>30</v>
      </c>
    </row>
    <row r="3" spans="1:6" x14ac:dyDescent="0.25">
      <c r="A3" s="9" t="s">
        <v>2</v>
      </c>
      <c r="B3" s="9"/>
      <c r="C3" s="9"/>
      <c r="D3" s="9"/>
      <c r="E3" s="9"/>
      <c r="F3">
        <f ca="1">MONTH(F1)</f>
        <v>3</v>
      </c>
    </row>
    <row r="4" spans="1:6" x14ac:dyDescent="0.25">
      <c r="A4" s="9" t="s">
        <v>3</v>
      </c>
      <c r="B4" s="9"/>
      <c r="C4" s="9"/>
      <c r="D4" s="9"/>
      <c r="E4" s="9"/>
      <c r="F4">
        <f ca="1">YEAR(F1)</f>
        <v>2026</v>
      </c>
    </row>
    <row r="5" spans="1:6" x14ac:dyDescent="0.25">
      <c r="A5" s="9" t="s">
        <v>4</v>
      </c>
      <c r="B5" s="9"/>
      <c r="C5" s="9"/>
      <c r="D5" s="9"/>
      <c r="E5" s="9"/>
      <c r="F5">
        <f ca="1">WEEKDAY(F1)</f>
        <v>2</v>
      </c>
    </row>
    <row r="7" spans="1:6" ht="21" x14ac:dyDescent="0.35">
      <c r="A7" s="8" t="s">
        <v>5</v>
      </c>
      <c r="B7" s="8"/>
      <c r="C7" s="8"/>
      <c r="D7" s="8"/>
      <c r="E7" s="8"/>
      <c r="F7" s="8"/>
    </row>
    <row r="8" spans="1:6" x14ac:dyDescent="0.25">
      <c r="A8" s="1" t="s">
        <v>6</v>
      </c>
      <c r="B8" s="5">
        <v>44075</v>
      </c>
    </row>
    <row r="9" spans="1:6" x14ac:dyDescent="0.25">
      <c r="A9" s="1"/>
      <c r="B9" s="1"/>
    </row>
    <row r="10" spans="1:6" ht="30" x14ac:dyDescent="0.25">
      <c r="A10" s="6" t="s">
        <v>7</v>
      </c>
      <c r="B10" s="6" t="s">
        <v>12</v>
      </c>
      <c r="C10" s="6" t="s">
        <v>8</v>
      </c>
      <c r="D10" s="6" t="s">
        <v>9</v>
      </c>
      <c r="E10" s="6" t="s">
        <v>10</v>
      </c>
      <c r="F10" s="6" t="s">
        <v>11</v>
      </c>
    </row>
    <row r="11" spans="1:6" x14ac:dyDescent="0.25">
      <c r="A11" s="3">
        <f>WORKDAY.INTL(B8-1,1,1,FERIADOS!A:A)</f>
        <v>44075</v>
      </c>
      <c r="B11" s="7">
        <v>44075</v>
      </c>
      <c r="C11" s="4">
        <v>10</v>
      </c>
      <c r="D11" s="4">
        <v>20</v>
      </c>
      <c r="E11" s="4">
        <v>15</v>
      </c>
      <c r="F11" s="4">
        <f>C11+D11-E11</f>
        <v>15</v>
      </c>
    </row>
    <row r="12" spans="1:6" x14ac:dyDescent="0.25">
      <c r="A12" s="3">
        <f>WORKDAY.INTL(A11,1,1,FERIADOS!A:A)</f>
        <v>44076</v>
      </c>
      <c r="B12" s="7">
        <v>44076</v>
      </c>
      <c r="C12" s="4">
        <f>F11</f>
        <v>15</v>
      </c>
      <c r="D12" s="4">
        <v>5</v>
      </c>
      <c r="E12" s="4">
        <v>20</v>
      </c>
      <c r="F12" s="4">
        <f t="shared" ref="F12:F31" si="0">C12+D12-E12</f>
        <v>0</v>
      </c>
    </row>
    <row r="13" spans="1:6" x14ac:dyDescent="0.25">
      <c r="A13" s="3">
        <f>WORKDAY.INTL(A12,1,1,FERIADOS!A:A)</f>
        <v>44077</v>
      </c>
      <c r="B13" s="7">
        <v>44077</v>
      </c>
      <c r="C13" s="4">
        <f t="shared" ref="C13:C31" si="1">F12</f>
        <v>0</v>
      </c>
      <c r="D13" s="4">
        <v>10</v>
      </c>
      <c r="E13" s="4">
        <v>8</v>
      </c>
      <c r="F13" s="4">
        <f t="shared" si="0"/>
        <v>2</v>
      </c>
    </row>
    <row r="14" spans="1:6" x14ac:dyDescent="0.25">
      <c r="A14" s="3">
        <f>WORKDAY.INTL(A13,1,1,FERIADOS!A:A)</f>
        <v>44078</v>
      </c>
      <c r="B14" s="7">
        <v>44078</v>
      </c>
      <c r="C14" s="4">
        <f t="shared" si="1"/>
        <v>2</v>
      </c>
      <c r="D14" s="4">
        <v>23</v>
      </c>
      <c r="E14" s="4">
        <v>20</v>
      </c>
      <c r="F14" s="4">
        <f t="shared" si="0"/>
        <v>5</v>
      </c>
    </row>
    <row r="15" spans="1:6" x14ac:dyDescent="0.25">
      <c r="A15" s="3">
        <f>WORKDAY.INTL(A14,1,1,FERIADOS!A:A)</f>
        <v>44082</v>
      </c>
      <c r="B15" s="7">
        <v>44082</v>
      </c>
      <c r="C15" s="4">
        <f t="shared" si="1"/>
        <v>5</v>
      </c>
      <c r="D15" s="4">
        <v>25</v>
      </c>
      <c r="E15" s="4">
        <v>22</v>
      </c>
      <c r="F15" s="4">
        <f t="shared" si="0"/>
        <v>8</v>
      </c>
    </row>
    <row r="16" spans="1:6" x14ac:dyDescent="0.25">
      <c r="A16" s="3">
        <f>WORKDAY.INTL(A15,1,1,FERIADOS!A:A)</f>
        <v>44083</v>
      </c>
      <c r="B16" s="7">
        <v>44083</v>
      </c>
      <c r="C16" s="4">
        <f t="shared" si="1"/>
        <v>8</v>
      </c>
      <c r="D16" s="4">
        <v>12</v>
      </c>
      <c r="E16" s="4">
        <v>10</v>
      </c>
      <c r="F16" s="4">
        <f t="shared" si="0"/>
        <v>10</v>
      </c>
    </row>
    <row r="17" spans="1:6" x14ac:dyDescent="0.25">
      <c r="A17" s="3">
        <f>WORKDAY.INTL(A16,1,1,FERIADOS!A:A)</f>
        <v>44084</v>
      </c>
      <c r="B17" s="7">
        <v>44084</v>
      </c>
      <c r="C17" s="4">
        <f t="shared" si="1"/>
        <v>10</v>
      </c>
      <c r="D17" s="4">
        <v>20</v>
      </c>
      <c r="E17" s="4">
        <v>12</v>
      </c>
      <c r="F17" s="4">
        <f t="shared" si="0"/>
        <v>18</v>
      </c>
    </row>
    <row r="18" spans="1:6" x14ac:dyDescent="0.25">
      <c r="A18" s="3">
        <f>WORKDAY.INTL(A17,1,1,FERIADOS!A:A)</f>
        <v>44085</v>
      </c>
      <c r="B18" s="7">
        <v>44085</v>
      </c>
      <c r="C18" s="4">
        <f t="shared" si="1"/>
        <v>18</v>
      </c>
      <c r="D18" s="4">
        <v>2</v>
      </c>
      <c r="E18" s="4">
        <v>15</v>
      </c>
      <c r="F18" s="4">
        <f t="shared" si="0"/>
        <v>5</v>
      </c>
    </row>
    <row r="19" spans="1:6" x14ac:dyDescent="0.25">
      <c r="A19" s="3">
        <f>WORKDAY.INTL(A18,1,1,FERIADOS!A:A)</f>
        <v>44088</v>
      </c>
      <c r="B19" s="7">
        <v>44088</v>
      </c>
      <c r="C19" s="4">
        <f t="shared" si="1"/>
        <v>5</v>
      </c>
      <c r="D19" s="4">
        <v>13</v>
      </c>
      <c r="E19" s="4">
        <v>17</v>
      </c>
      <c r="F19" s="4">
        <f t="shared" si="0"/>
        <v>1</v>
      </c>
    </row>
    <row r="20" spans="1:6" x14ac:dyDescent="0.25">
      <c r="A20" s="3">
        <f>WORKDAY.INTL(A19,1,1,FERIADOS!A:A)</f>
        <v>44089</v>
      </c>
      <c r="B20" s="7">
        <v>44089</v>
      </c>
      <c r="C20" s="4">
        <f t="shared" si="1"/>
        <v>1</v>
      </c>
      <c r="D20" s="4">
        <v>20</v>
      </c>
      <c r="E20" s="4">
        <v>15</v>
      </c>
      <c r="F20" s="4">
        <f t="shared" si="0"/>
        <v>6</v>
      </c>
    </row>
    <row r="21" spans="1:6" x14ac:dyDescent="0.25">
      <c r="A21" s="3">
        <f>WORKDAY.INTL(A20,1,1,FERIADOS!A:A)</f>
        <v>44090</v>
      </c>
      <c r="B21" s="7">
        <v>44090</v>
      </c>
      <c r="C21" s="4">
        <f t="shared" si="1"/>
        <v>6</v>
      </c>
      <c r="D21" s="4">
        <v>22</v>
      </c>
      <c r="E21" s="4">
        <v>25</v>
      </c>
      <c r="F21" s="4">
        <f t="shared" si="0"/>
        <v>3</v>
      </c>
    </row>
    <row r="22" spans="1:6" x14ac:dyDescent="0.25">
      <c r="A22" s="3">
        <f>WORKDAY.INTL(A21,1,1,FERIADOS!A:A)</f>
        <v>44091</v>
      </c>
      <c r="B22" s="7">
        <v>44091</v>
      </c>
      <c r="C22" s="4">
        <f t="shared" si="1"/>
        <v>3</v>
      </c>
      <c r="D22" s="4">
        <v>30</v>
      </c>
      <c r="E22" s="4">
        <v>24</v>
      </c>
      <c r="F22" s="4">
        <f t="shared" si="0"/>
        <v>9</v>
      </c>
    </row>
    <row r="23" spans="1:6" x14ac:dyDescent="0.25">
      <c r="A23" s="3">
        <f>WORKDAY.INTL(A22,1,1,FERIADOS!A:A)</f>
        <v>44092</v>
      </c>
      <c r="B23" s="7">
        <v>44092</v>
      </c>
      <c r="C23" s="4">
        <f t="shared" si="1"/>
        <v>9</v>
      </c>
      <c r="D23" s="4">
        <v>45</v>
      </c>
      <c r="E23" s="4">
        <v>40</v>
      </c>
      <c r="F23" s="4">
        <f t="shared" si="0"/>
        <v>14</v>
      </c>
    </row>
    <row r="24" spans="1:6" x14ac:dyDescent="0.25">
      <c r="A24" s="3">
        <f>WORKDAY.INTL(A23,1,1,FERIADOS!A:A)</f>
        <v>44095</v>
      </c>
      <c r="B24" s="7">
        <v>44095</v>
      </c>
      <c r="C24" s="4">
        <f t="shared" si="1"/>
        <v>14</v>
      </c>
      <c r="D24" s="4">
        <v>12</v>
      </c>
      <c r="E24" s="4">
        <v>25</v>
      </c>
      <c r="F24" s="4">
        <f t="shared" si="0"/>
        <v>1</v>
      </c>
    </row>
    <row r="25" spans="1:6" x14ac:dyDescent="0.25">
      <c r="A25" s="3">
        <f>WORKDAY.INTL(A24,1,1,FERIADOS!A:A)</f>
        <v>44096</v>
      </c>
      <c r="B25" s="7">
        <v>44096</v>
      </c>
      <c r="C25" s="4">
        <f t="shared" si="1"/>
        <v>1</v>
      </c>
      <c r="D25" s="4">
        <v>20</v>
      </c>
      <c r="E25" s="4">
        <v>10</v>
      </c>
      <c r="F25" s="4">
        <f t="shared" si="0"/>
        <v>11</v>
      </c>
    </row>
    <row r="26" spans="1:6" x14ac:dyDescent="0.25">
      <c r="A26" s="3">
        <f>WORKDAY.INTL(A25,1,1,FERIADOS!A:A)</f>
        <v>44097</v>
      </c>
      <c r="B26" s="7">
        <v>44097</v>
      </c>
      <c r="C26" s="4">
        <f t="shared" si="1"/>
        <v>11</v>
      </c>
      <c r="D26" s="4">
        <v>22</v>
      </c>
      <c r="E26" s="4">
        <v>25</v>
      </c>
      <c r="F26" s="4">
        <f t="shared" si="0"/>
        <v>8</v>
      </c>
    </row>
    <row r="27" spans="1:6" x14ac:dyDescent="0.25">
      <c r="A27" s="3">
        <f>WORKDAY.INTL(A26,1,1,FERIADOS!A:A)</f>
        <v>44098</v>
      </c>
      <c r="B27" s="7">
        <v>44098</v>
      </c>
      <c r="C27" s="4">
        <f t="shared" si="1"/>
        <v>8</v>
      </c>
      <c r="D27" s="4">
        <v>25</v>
      </c>
      <c r="E27" s="4">
        <v>28</v>
      </c>
      <c r="F27" s="4">
        <f t="shared" si="0"/>
        <v>5</v>
      </c>
    </row>
    <row r="28" spans="1:6" x14ac:dyDescent="0.25">
      <c r="A28" s="3">
        <f>WORKDAY.INTL(A27,1,1,FERIADOS!A:A)</f>
        <v>44099</v>
      </c>
      <c r="B28" s="7">
        <v>44099</v>
      </c>
      <c r="C28" s="4">
        <f t="shared" si="1"/>
        <v>5</v>
      </c>
      <c r="D28" s="4">
        <v>16</v>
      </c>
      <c r="E28" s="4">
        <v>21</v>
      </c>
      <c r="F28" s="4">
        <f t="shared" si="0"/>
        <v>0</v>
      </c>
    </row>
    <row r="29" spans="1:6" x14ac:dyDescent="0.25">
      <c r="A29" s="3">
        <f>WORKDAY.INTL(A28,1,1,FERIADOS!A:A)</f>
        <v>44102</v>
      </c>
      <c r="B29" s="7">
        <v>44102</v>
      </c>
      <c r="C29" s="4">
        <f t="shared" si="1"/>
        <v>0</v>
      </c>
      <c r="D29" s="4">
        <v>35</v>
      </c>
      <c r="E29" s="4">
        <v>28</v>
      </c>
      <c r="F29" s="4">
        <f t="shared" si="0"/>
        <v>7</v>
      </c>
    </row>
    <row r="30" spans="1:6" x14ac:dyDescent="0.25">
      <c r="A30" s="3">
        <f>WORKDAY.INTL(A29,1,1,FERIADOS!A:A)</f>
        <v>44103</v>
      </c>
      <c r="B30" s="7">
        <v>44103</v>
      </c>
      <c r="C30" s="4">
        <f t="shared" si="1"/>
        <v>7</v>
      </c>
      <c r="D30" s="4">
        <v>13</v>
      </c>
      <c r="E30" s="4">
        <v>15</v>
      </c>
      <c r="F30" s="4">
        <f t="shared" si="0"/>
        <v>5</v>
      </c>
    </row>
    <row r="31" spans="1:6" x14ac:dyDescent="0.25">
      <c r="A31" s="3">
        <f>WORKDAY.INTL(A30,1,1,FERIADOS!A:A)</f>
        <v>44104</v>
      </c>
      <c r="B31" s="7">
        <v>44104</v>
      </c>
      <c r="C31" s="4">
        <f t="shared" si="1"/>
        <v>5</v>
      </c>
      <c r="D31" s="4">
        <v>25</v>
      </c>
      <c r="E31" s="4">
        <v>15</v>
      </c>
      <c r="F31" s="4">
        <f t="shared" si="0"/>
        <v>15</v>
      </c>
    </row>
  </sheetData>
  <mergeCells count="6">
    <mergeCell ref="A7:F7"/>
    <mergeCell ref="A1:E1"/>
    <mergeCell ref="A2:E2"/>
    <mergeCell ref="A3:E3"/>
    <mergeCell ref="A4:E4"/>
    <mergeCell ref="A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C8" sqref="C8"/>
    </sheetView>
  </sheetViews>
  <sheetFormatPr defaultRowHeight="15" x14ac:dyDescent="0.25"/>
  <cols>
    <col min="1" max="1" width="10.7109375" bestFit="1" customWidth="1"/>
  </cols>
  <sheetData>
    <row r="1" spans="1:1" x14ac:dyDescent="0.25">
      <c r="A1" s="2">
        <v>44081</v>
      </c>
    </row>
    <row r="2" spans="1:1" x14ac:dyDescent="0.25">
      <c r="A2" s="2"/>
    </row>
    <row r="3" spans="1:1" x14ac:dyDescent="0.25">
      <c r="A3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U8" sqref="U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26BA-8CDC-495C-B1E6-8D8612E83047}">
  <dimension ref="A1"/>
  <sheetViews>
    <sheetView workbookViewId="0">
      <selection activeCell="L15" sqref="L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ESTOQUE</vt:lpstr>
      <vt:lpstr>FERIADOS</vt:lpstr>
      <vt:lpstr>Funções</vt:lpstr>
      <vt:lpstr>Funções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Usuário Local</cp:lastModifiedBy>
  <dcterms:created xsi:type="dcterms:W3CDTF">2011-06-21T18:20:34Z</dcterms:created>
  <dcterms:modified xsi:type="dcterms:W3CDTF">2026-03-30T17:00:57Z</dcterms:modified>
</cp:coreProperties>
</file>